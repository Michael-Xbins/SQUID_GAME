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项目集合\电报鱿鱼游戏\"/>
    </mc:Choice>
  </mc:AlternateContent>
  <xr:revisionPtr revIDLastSave="0" documentId="13_ncr:1_{5DDE7B5F-1414-4FDD-A0E5-C46C8CFE2D28}" xr6:coauthVersionLast="47" xr6:coauthVersionMax="47" xr10:uidLastSave="{00000000-0000-0000-0000-000000000000}"/>
  <bookViews>
    <workbookView xWindow="780" yWindow="0" windowWidth="18120" windowHeight="17280" xr2:uid="{00000000-000D-0000-FFFF-FFFF00000000}"/>
  </bookViews>
  <sheets>
    <sheet name="App" sheetId="4" r:id="rId1"/>
    <sheet name="Wood" sheetId="3" r:id="rId2"/>
    <sheet name="Compete" sheetId="5" r:id="rId3"/>
    <sheet name="Ladder" sheetId="7" r:id="rId4"/>
    <sheet name="Glass" sheetId="6" r:id="rId5"/>
  </sheets>
  <calcPr calcId="191029"/>
</workbook>
</file>

<file path=xl/calcChain.xml><?xml version="1.0" encoding="utf-8"?>
<calcChain xmlns="http://schemas.openxmlformats.org/spreadsheetml/2006/main">
  <c r="G20" i="3" l="1"/>
  <c r="G21" i="3"/>
  <c r="G22" i="3"/>
  <c r="G23" i="3"/>
  <c r="G24" i="3"/>
  <c r="G25" i="3"/>
  <c r="G19" i="3"/>
  <c r="F20" i="3"/>
  <c r="F21" i="3"/>
  <c r="F22" i="3"/>
  <c r="F23" i="3"/>
  <c r="F24" i="3"/>
  <c r="F25" i="3"/>
  <c r="F19" i="3"/>
  <c r="G18" i="3"/>
</calcChain>
</file>

<file path=xl/sharedStrings.xml><?xml version="1.0" encoding="utf-8"?>
<sst xmlns="http://schemas.openxmlformats.org/spreadsheetml/2006/main" count="497" uniqueCount="230">
  <si>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</si>
  <si>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</si>
  <si>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</si>
  <si>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target</t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</si>
  <si>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</si>
  <si>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num_int</t>
  </si>
  <si>
    <t>##type</t>
  </si>
  <si>
    <t>string</t>
  </si>
  <si>
    <t>int</t>
  </si>
  <si>
    <t>##group</t>
  </si>
  <si>
    <t>c,s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</si>
  <si>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</si>
  <si>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</si>
  <si>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</si>
  <si>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</si>
  <si>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目标值</t>
  </si>
  <si>
    <t>描述</t>
  </si>
  <si>
    <t>数值</t>
  </si>
  <si>
    <t>withdrawal</t>
  </si>
  <si>
    <t>提现手续费</t>
  </si>
  <si>
    <t>invite1</t>
  </si>
  <si>
    <t>Invite 1 friend</t>
  </si>
  <si>
    <t>invite2</t>
  </si>
  <si>
    <t>Invite 3 friends</t>
  </si>
  <si>
    <t>invite3</t>
  </si>
  <si>
    <t>Invite 5 friends</t>
  </si>
  <si>
    <t>invite4</t>
  </si>
  <si>
    <t>Invite 10 friends</t>
  </si>
  <si>
    <t>invite5</t>
  </si>
  <si>
    <t>Invite 20 friends</t>
  </si>
  <si>
    <t>invite6</t>
  </si>
  <si>
    <t>Invite 30 friends</t>
  </si>
  <si>
    <t>exchange1</t>
  </si>
  <si>
    <t>exchange2</t>
  </si>
  <si>
    <t>exchange3</t>
  </si>
  <si>
    <t>allocation</t>
  </si>
  <si>
    <t>闪兑汇率</t>
  </si>
  <si>
    <t>allocatioon</t>
  </si>
  <si>
    <t>pump_profit</t>
  </si>
  <si>
    <t>庄家盈利抽水值</t>
  </si>
  <si>
    <t>庄家比例【千分比】</t>
  </si>
  <si>
    <t>pump_jackpot</t>
  </si>
  <si>
    <t>JACKPOT大奖抽水值</t>
  </si>
  <si>
    <t>大奖比例【千分比】</t>
  </si>
  <si>
    <t>pump_day</t>
  </si>
  <si>
    <t>每日首通抽水值</t>
  </si>
  <si>
    <t>首通比例【千分比】</t>
  </si>
  <si>
    <t>pump_acting</t>
  </si>
  <si>
    <t>代理佣金抽水值</t>
  </si>
  <si>
    <t>佣金比例【千分比】</t>
  </si>
  <si>
    <t>price_one</t>
  </si>
  <si>
    <t>筹码1单价</t>
  </si>
  <si>
    <t>投注单价</t>
  </si>
  <si>
    <t>price_two</t>
  </si>
  <si>
    <t>筹码2单价</t>
  </si>
  <si>
    <t>price_three</t>
  </si>
  <si>
    <t>筹码3单价</t>
  </si>
  <si>
    <t>price_four</t>
  </si>
  <si>
    <t>筹码4单价</t>
  </si>
  <si>
    <t>price_five</t>
  </si>
  <si>
    <t>筹码5单价</t>
  </si>
  <si>
    <t>open_time</t>
  </si>
  <si>
    <t>开盘时间</t>
  </si>
  <si>
    <t>下注时间</t>
  </si>
  <si>
    <t>close_time</t>
  </si>
  <si>
    <t>封盘时间</t>
  </si>
  <si>
    <t>settlement_time</t>
  </si>
  <si>
    <t>结算时间</t>
  </si>
  <si>
    <t>money_power1</t>
  </si>
  <si>
    <t>第1轮金额权重</t>
  </si>
  <si>
    <t>money_power2</t>
  </si>
  <si>
    <t>第2轮金额权重</t>
  </si>
  <si>
    <t>money_power3</t>
  </si>
  <si>
    <t>第3轮金额权重</t>
  </si>
  <si>
    <t>money_power4</t>
  </si>
  <si>
    <t>第4轮金额权重</t>
  </si>
  <si>
    <t>money_power5</t>
  </si>
  <si>
    <t>第5轮金额权重</t>
  </si>
  <si>
    <t>money_power6</t>
  </si>
  <si>
    <t>第6轮金额权重</t>
  </si>
  <si>
    <t>money_power7</t>
  </si>
  <si>
    <t>第7轮金额权重</t>
  </si>
  <si>
    <t>acting0</t>
  </si>
  <si>
    <t>代理直属上线佣金分成</t>
  </si>
  <si>
    <t>acting1</t>
  </si>
  <si>
    <t>代理间接上线佣金分成</t>
  </si>
  <si>
    <t>new_humen</t>
  </si>
  <si>
    <t>新玩家首通奖励</t>
  </si>
  <si>
    <t>金币数值</t>
  </si>
  <si>
    <t>jackpot_min</t>
  </si>
  <si>
    <t>JACKPOT大奖返奖比例下限</t>
  </si>
  <si>
    <t>14以上为吐分【百分比】</t>
  </si>
  <si>
    <t>jackpot_max</t>
  </si>
  <si>
    <t>JACKPOT大奖返奖比例上限</t>
  </si>
  <si>
    <t>14以下为吃分【百分比】</t>
  </si>
  <si>
    <t xml:space="preserve"> </t>
  </si>
  <si>
    <t>random_coin_max</t>
  </si>
  <si>
    <t>robot_coin</t>
  </si>
  <si>
    <t>初始机器人金额</t>
  </si>
  <si>
    <t>首次携带金币数量【单位分】</t>
  </si>
  <si>
    <t>robot_num</t>
  </si>
  <si>
    <t>机器人数(只增不减)</t>
  </si>
  <si>
    <t>固定机器人个数</t>
  </si>
  <si>
    <t>数值百分比</t>
  </si>
  <si>
    <t>投注单价【百分比】</t>
  </si>
  <si>
    <t>odds_a</t>
  </si>
  <si>
    <t>A队赔率</t>
  </si>
  <si>
    <t>odds_peace</t>
  </si>
  <si>
    <t>和局赔率</t>
  </si>
  <si>
    <t>odds_b</t>
  </si>
  <si>
    <t>B队赔率</t>
  </si>
  <si>
    <t>lim_a</t>
  </si>
  <si>
    <t>A队限红</t>
  </si>
  <si>
    <t>A队限红【百分比】</t>
  </si>
  <si>
    <t>lim_peace</t>
  </si>
  <si>
    <t>和局限红</t>
  </si>
  <si>
    <t>和局限红【百分比】</t>
  </si>
  <si>
    <t>lim_b</t>
  </si>
  <si>
    <t>B队限红</t>
  </si>
  <si>
    <t>B队限红【百分比】</t>
  </si>
  <si>
    <t>category</t>
  </si>
  <si>
    <t>投注类型</t>
  </si>
  <si>
    <t>round_10</t>
  </si>
  <si>
    <t>第一轮【0】赔率</t>
  </si>
  <si>
    <t>第一轮【0】赔率【千分比】</t>
  </si>
  <si>
    <t>round_11</t>
  </si>
  <si>
    <t>第一轮【1】赔率</t>
  </si>
  <si>
    <t>第一轮【1】赔率【千分比】</t>
  </si>
  <si>
    <t>round_12</t>
  </si>
  <si>
    <t>第一轮【2】赔率</t>
  </si>
  <si>
    <t>第一轮【2】赔率【千分比】</t>
  </si>
  <si>
    <t>round_20</t>
  </si>
  <si>
    <t>第二轮【0】赔率</t>
  </si>
  <si>
    <t>第二轮【0】赔率【千分比】</t>
  </si>
  <si>
    <t>round_21</t>
  </si>
  <si>
    <t>第二轮【1】赔率</t>
  </si>
  <si>
    <t>第二轮【1】赔率【千分比】</t>
  </si>
  <si>
    <t>round_22</t>
  </si>
  <si>
    <t>第二轮【2】赔率</t>
  </si>
  <si>
    <t>第二轮【2】赔率【千分比】</t>
  </si>
  <si>
    <t>round_23</t>
  </si>
  <si>
    <t>第二轮【3】赔率</t>
  </si>
  <si>
    <t>第二轮【3】赔率【千分比】</t>
  </si>
  <si>
    <t>round_30</t>
  </si>
  <si>
    <t>第三轮【0】赔率</t>
  </si>
  <si>
    <t>第三轮【0】赔率【千分比】</t>
  </si>
  <si>
    <t>round_31</t>
  </si>
  <si>
    <t>第三轮【1】赔率</t>
  </si>
  <si>
    <t>第三轮【1】赔率【千分比】</t>
  </si>
  <si>
    <t>round_32</t>
  </si>
  <si>
    <t>第三轮【2】赔率</t>
  </si>
  <si>
    <t>第三轮【2】赔率【千分比】</t>
  </si>
  <si>
    <t>round_2030</t>
  </si>
  <si>
    <t>二串一 2030</t>
  </si>
  <si>
    <t>串盘赔率【千分比】</t>
  </si>
  <si>
    <t>round_2130</t>
  </si>
  <si>
    <t>二串一 2130</t>
  </si>
  <si>
    <t>round_2230</t>
  </si>
  <si>
    <t>二串一 2230</t>
  </si>
  <si>
    <t>round_2330</t>
  </si>
  <si>
    <t>二串一 2330</t>
  </si>
  <si>
    <t>round_2031</t>
  </si>
  <si>
    <t>二串一 2031</t>
  </si>
  <si>
    <t>round_2131</t>
  </si>
  <si>
    <t>二串一 2131</t>
  </si>
  <si>
    <t>round_2231</t>
  </si>
  <si>
    <t>二串一 2231</t>
  </si>
  <si>
    <t>round_2331</t>
  </si>
  <si>
    <t>二串一 2331</t>
  </si>
  <si>
    <t>round_2032</t>
  </si>
  <si>
    <t>二串一 2032</t>
  </si>
  <si>
    <t>round_2132</t>
  </si>
  <si>
    <t>二串一 2132</t>
  </si>
  <si>
    <t>round_2232</t>
  </si>
  <si>
    <t>二串一 2232</t>
  </si>
  <si>
    <t>round_2332</t>
  </si>
  <si>
    <t>二串一 2332</t>
  </si>
  <si>
    <t>lim_1</t>
  </si>
  <si>
    <t>第一轮限红金额</t>
  </si>
  <si>
    <t>直注限红</t>
  </si>
  <si>
    <t>lim_2</t>
  </si>
  <si>
    <t>第二轮限红金额</t>
  </si>
  <si>
    <t>lim_3</t>
  </si>
  <si>
    <t>第三轮限红金额</t>
  </si>
  <si>
    <t>lim_23</t>
  </si>
  <si>
    <t>二三轮限红金额</t>
  </si>
  <si>
    <t>二串一限红</t>
  </si>
  <si>
    <t>pump_second</t>
  </si>
  <si>
    <t>启动库存</t>
  </si>
  <si>
    <t>库存比例【千分比】</t>
  </si>
  <si>
    <t>into_second</t>
  </si>
  <si>
    <t>二次启动转入比例</t>
  </si>
  <si>
    <t>转入比例【千分比】</t>
  </si>
  <si>
    <t>poor_num</t>
    <phoneticPr fontId="4" type="noConversion"/>
  </si>
  <si>
    <t>poor_count</t>
    <phoneticPr fontId="4" type="noConversion"/>
  </si>
  <si>
    <t>每次破产扶贫金额</t>
    <phoneticPr fontId="4" type="noConversion"/>
  </si>
  <si>
    <t>每天扶贫最大次数</t>
    <phoneticPr fontId="4" type="noConversion"/>
  </si>
  <si>
    <t>金额小于xx时触发扶贫</t>
    <phoneticPr fontId="4" type="noConversion"/>
  </si>
  <si>
    <t>poor_lim</t>
    <phoneticPr fontId="4" type="noConversion"/>
  </si>
  <si>
    <t>分享成功赠送金币【数值分】</t>
    <phoneticPr fontId="4" type="noConversion"/>
  </si>
  <si>
    <t>usdt_sum</t>
    <phoneticPr fontId="4" type="noConversion"/>
  </si>
  <si>
    <t>usdt_up</t>
    <phoneticPr fontId="4" type="noConversion"/>
  </si>
  <si>
    <t>usdt_upup</t>
    <phoneticPr fontId="4" type="noConversion"/>
  </si>
  <si>
    <t>充值代理佣金总比例</t>
    <phoneticPr fontId="4" type="noConversion"/>
  </si>
  <si>
    <t>上线份额</t>
    <phoneticPr fontId="4" type="noConversion"/>
  </si>
  <si>
    <t>上上线份额</t>
    <phoneticPr fontId="4" type="noConversion"/>
  </si>
  <si>
    <t>充值代理佣金总比例【千分比】</t>
    <phoneticPr fontId="4" type="noConversion"/>
  </si>
  <si>
    <t>上线份额【千分比】</t>
    <phoneticPr fontId="4" type="noConversion"/>
  </si>
  <si>
    <t>上上线份额【千分比】</t>
    <phoneticPr fontId="4" type="noConversion"/>
  </si>
  <si>
    <t>random_coin_min</t>
    <phoneticPr fontId="6" type="noConversion"/>
  </si>
  <si>
    <t>每轮随机个数分配给这轮参与得机器人</t>
    <phoneticPr fontId="6" type="noConversion"/>
  </si>
  <si>
    <t>random_coin_numin</t>
    <phoneticPr fontId="6" type="noConversion"/>
  </si>
  <si>
    <t>random_coin_numax</t>
    <phoneticPr fontId="6" type="noConversion"/>
  </si>
  <si>
    <t>随机下注最小筹码个数下限</t>
    <phoneticPr fontId="6" type="noConversion"/>
  </si>
  <si>
    <t>随机下注最小筹码个数上限</t>
    <phoneticPr fontId="6" type="noConversion"/>
  </si>
  <si>
    <t>1 USDT = ？SQU【数值分】</t>
    <phoneticPr fontId="4" type="noConversion"/>
  </si>
  <si>
    <t>1 USDT = ？VOU【数值元】</t>
    <phoneticPr fontId="4" type="noConversion"/>
  </si>
  <si>
    <t>cdk兑换百分比【分】</t>
    <phoneticPr fontId="4" type="noConversion"/>
  </si>
  <si>
    <t>机器人随机下注金额最小</t>
    <phoneticPr fontId="6" type="noConversion"/>
  </si>
  <si>
    <t>机器人随机下注金额最大</t>
    <phoneticPr fontId="6" type="noConversion"/>
  </si>
  <si>
    <t>开盘时间秒</t>
    <phoneticPr fontId="4" type="noConversion"/>
  </si>
  <si>
    <t>封盘时间秒</t>
    <phoneticPr fontId="4" type="noConversion"/>
  </si>
  <si>
    <t>结算时间秒</t>
    <phoneticPr fontId="4" type="noConversion"/>
  </si>
  <si>
    <t>提现最小额度</t>
    <phoneticPr fontId="4" type="noConversion"/>
  </si>
  <si>
    <t>美分为单位 ustd【数值分】</t>
    <phoneticPr fontId="4" type="noConversion"/>
  </si>
  <si>
    <t>cash_min</t>
    <phoneticPr fontId="4" type="noConversion"/>
  </si>
  <si>
    <t>market</t>
    <phoneticPr fontId="4" type="noConversion"/>
  </si>
  <si>
    <t>交易行手续费</t>
    <phoneticPr fontId="4" type="noConversion"/>
  </si>
  <si>
    <t>扣除比例【千分比】</t>
    <phoneticPr fontId="4" type="noConversion"/>
  </si>
  <si>
    <t>交易行手续费【千分比】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</si>
</sst>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1" applyBorder="1" applyAlignment="1"/>
    <xf numFmtId="0" fontId="2" fillId="3" borderId="1" xfId="2" applyBorder="1" applyAlignment="1"/>
    <xf numFmtId="0" fontId="0" fillId="4" borderId="0" xfId="0" applyFill="1">
      <alignment vertical="center"/>
    </xf>
    <xf numFmtId="176" fontId="0" fillId="4" borderId="0" xfId="0" applyNumberFormat="1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/>
    </xf>
    <xf numFmtId="0" fontId="2" fillId="3" borderId="1" xfId="2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0" fillId="5" borderId="0" xfId="0" applyFill="1">
      <alignment vertical="center"/>
    </xf>
    <xf numFmtId="176" fontId="0" fillId="5" borderId="0" xfId="0" applyNumberFormat="1" applyFill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3" fillId="5" borderId="0" xfId="0" applyFont="1" applyFill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30" zoomScaleNormal="130" workbookViewId="0">
      <selection activeCell="F8" sqref="F8"/>
    </sheetView>
  </sheetViews>
  <sheetFormatPr defaultColWidth="9" defaultRowHeight="14.25" x14ac:dyDescent="0.2"/>
  <cols>
    <col min="1" max="1" width="8.75" customWidth="1"/>
    <col min="2" max="2" width="10.375" customWidth="1"/>
    <col min="3" max="3" width="21.375" customWidth="1"/>
    <col min="4" max="4" width="15.875" customWidth="1"/>
    <col min="5" max="5" width="25.5" customWidth="1"/>
    <col min="6" max="6" width="1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">
      <c r="A2" s="2" t="s">
        <v>6</v>
      </c>
      <c r="B2" s="2" t="s">
        <v>7</v>
      </c>
      <c r="C2" s="2" t="s">
        <v>7</v>
      </c>
      <c r="D2" s="2" t="s">
        <v>8</v>
      </c>
      <c r="E2" s="2" t="s">
        <v>7</v>
      </c>
      <c r="F2" s="2" t="s">
        <v>8</v>
      </c>
    </row>
    <row r="3" spans="1:9" x14ac:dyDescent="0.2">
      <c r="A3" s="2" t="s">
        <v>9</v>
      </c>
      <c r="B3" s="2" t="s">
        <v>10</v>
      </c>
      <c r="C3" s="2" t="s">
        <v>11</v>
      </c>
      <c r="D3" s="2" t="s">
        <v>10</v>
      </c>
      <c r="E3" s="2" t="s">
        <v>11</v>
      </c>
      <c r="F3" s="2" t="s">
        <v>10</v>
      </c>
    </row>
    <row r="4" spans="1:9" x14ac:dyDescent="0.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9" x14ac:dyDescent="0.2">
      <c r="B5" s="11" t="s">
        <v>18</v>
      </c>
      <c r="C5" s="11" t="s">
        <v>19</v>
      </c>
      <c r="D5" s="11">
        <v>0</v>
      </c>
      <c r="E5" s="15" t="s">
        <v>228</v>
      </c>
      <c r="F5" s="12">
        <v>0</v>
      </c>
    </row>
    <row r="6" spans="1:9" x14ac:dyDescent="0.2">
      <c r="B6" s="15" t="s">
        <v>225</v>
      </c>
      <c r="C6" s="15" t="s">
        <v>223</v>
      </c>
      <c r="D6" s="11"/>
      <c r="E6" s="15" t="s">
        <v>224</v>
      </c>
      <c r="F6" s="12">
        <v>1100</v>
      </c>
    </row>
    <row r="7" spans="1:9" x14ac:dyDescent="0.2">
      <c r="B7" s="15" t="s">
        <v>226</v>
      </c>
      <c r="C7" s="15" t="s">
        <v>227</v>
      </c>
      <c r="D7" s="11"/>
      <c r="E7" s="15" t="s">
        <v>229</v>
      </c>
      <c r="F7" s="12">
        <v>50</v>
      </c>
    </row>
    <row r="8" spans="1:9" x14ac:dyDescent="0.2">
      <c r="B8" t="s">
        <v>20</v>
      </c>
      <c r="C8" t="s">
        <v>21</v>
      </c>
      <c r="D8">
        <v>1</v>
      </c>
      <c r="E8" s="10" t="s">
        <v>199</v>
      </c>
      <c r="F8" s="5">
        <v>100000</v>
      </c>
      <c r="I8" s="13"/>
    </row>
    <row r="9" spans="1:9" x14ac:dyDescent="0.2">
      <c r="B9" t="s">
        <v>22</v>
      </c>
      <c r="C9" t="s">
        <v>23</v>
      </c>
      <c r="D9">
        <v>3</v>
      </c>
      <c r="E9" s="13" t="s">
        <v>199</v>
      </c>
      <c r="F9" s="5">
        <v>300000</v>
      </c>
    </row>
    <row r="10" spans="1:9" x14ac:dyDescent="0.2">
      <c r="B10" t="s">
        <v>24</v>
      </c>
      <c r="C10" t="s">
        <v>25</v>
      </c>
      <c r="D10">
        <v>5</v>
      </c>
      <c r="E10" s="13" t="s">
        <v>199</v>
      </c>
      <c r="F10" s="5">
        <v>600000</v>
      </c>
    </row>
    <row r="11" spans="1:9" x14ac:dyDescent="0.2">
      <c r="B11" t="s">
        <v>26</v>
      </c>
      <c r="C11" t="s">
        <v>27</v>
      </c>
      <c r="D11">
        <v>10</v>
      </c>
      <c r="E11" s="13" t="s">
        <v>199</v>
      </c>
      <c r="F11" s="5">
        <v>1000000</v>
      </c>
    </row>
    <row r="12" spans="1:9" x14ac:dyDescent="0.2">
      <c r="B12" t="s">
        <v>28</v>
      </c>
      <c r="C12" t="s">
        <v>29</v>
      </c>
      <c r="D12">
        <v>20</v>
      </c>
      <c r="E12" s="13" t="s">
        <v>199</v>
      </c>
      <c r="F12" s="5">
        <v>3000000</v>
      </c>
    </row>
    <row r="13" spans="1:9" x14ac:dyDescent="0.2">
      <c r="B13" t="s">
        <v>30</v>
      </c>
      <c r="C13" t="s">
        <v>31</v>
      </c>
      <c r="D13">
        <v>30</v>
      </c>
      <c r="E13" s="13" t="s">
        <v>199</v>
      </c>
      <c r="F13" s="5">
        <v>5000000</v>
      </c>
    </row>
    <row r="14" spans="1:9" x14ac:dyDescent="0.2">
      <c r="B14" t="s">
        <v>32</v>
      </c>
      <c r="E14" s="10" t="s">
        <v>217</v>
      </c>
      <c r="F14" s="5">
        <v>1000</v>
      </c>
    </row>
    <row r="15" spans="1:9" x14ac:dyDescent="0.2">
      <c r="B15" t="s">
        <v>33</v>
      </c>
      <c r="E15" s="10" t="s">
        <v>217</v>
      </c>
      <c r="F15" s="5">
        <v>10000</v>
      </c>
    </row>
    <row r="16" spans="1:9" x14ac:dyDescent="0.2">
      <c r="B16" t="s">
        <v>34</v>
      </c>
      <c r="E16" s="10" t="s">
        <v>217</v>
      </c>
      <c r="F16" s="5">
        <v>100000</v>
      </c>
    </row>
    <row r="17" spans="2:6" x14ac:dyDescent="0.2">
      <c r="B17" t="s">
        <v>35</v>
      </c>
      <c r="C17" t="s">
        <v>36</v>
      </c>
      <c r="E17" s="14" t="s">
        <v>215</v>
      </c>
      <c r="F17" s="5">
        <v>1000000</v>
      </c>
    </row>
    <row r="18" spans="2:6" x14ac:dyDescent="0.2">
      <c r="B18" t="s">
        <v>37</v>
      </c>
      <c r="C18" t="s">
        <v>36</v>
      </c>
      <c r="E18" s="14" t="s">
        <v>216</v>
      </c>
      <c r="F18" s="5">
        <v>10</v>
      </c>
    </row>
    <row r="19" spans="2:6" x14ac:dyDescent="0.2">
      <c r="B19" s="13" t="s">
        <v>193</v>
      </c>
      <c r="C19" s="13" t="s">
        <v>195</v>
      </c>
      <c r="E19" s="13" t="s">
        <v>195</v>
      </c>
      <c r="F19" s="5">
        <v>100000</v>
      </c>
    </row>
    <row r="20" spans="2:6" x14ac:dyDescent="0.2">
      <c r="B20" s="13" t="s">
        <v>194</v>
      </c>
      <c r="C20" s="13" t="s">
        <v>196</v>
      </c>
      <c r="E20" s="13" t="s">
        <v>196</v>
      </c>
      <c r="F20" s="5">
        <v>3</v>
      </c>
    </row>
    <row r="21" spans="2:6" x14ac:dyDescent="0.2">
      <c r="B21" s="13" t="s">
        <v>198</v>
      </c>
      <c r="C21" s="13" t="s">
        <v>197</v>
      </c>
      <c r="E21" s="13" t="s">
        <v>197</v>
      </c>
      <c r="F21" s="5">
        <v>100000</v>
      </c>
    </row>
    <row r="22" spans="2:6" x14ac:dyDescent="0.2">
      <c r="B22" s="13" t="s">
        <v>200</v>
      </c>
      <c r="C22" s="13" t="s">
        <v>203</v>
      </c>
      <c r="E22" s="13" t="s">
        <v>206</v>
      </c>
      <c r="F22" s="5">
        <v>50</v>
      </c>
    </row>
    <row r="23" spans="2:6" x14ac:dyDescent="0.2">
      <c r="B23" s="13" t="s">
        <v>201</v>
      </c>
      <c r="C23" s="13" t="s">
        <v>204</v>
      </c>
      <c r="E23" s="13" t="s">
        <v>207</v>
      </c>
      <c r="F23" s="5">
        <v>800</v>
      </c>
    </row>
    <row r="24" spans="2:6" x14ac:dyDescent="0.2">
      <c r="B24" s="13" t="s">
        <v>202</v>
      </c>
      <c r="C24" s="13" t="s">
        <v>205</v>
      </c>
      <c r="E24" s="13" t="s">
        <v>208</v>
      </c>
      <c r="F24" s="5">
        <v>200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zoomScale="115" zoomScaleNormal="115" workbookViewId="0">
      <selection activeCell="D41" sqref="D41"/>
    </sheetView>
  </sheetViews>
  <sheetFormatPr defaultColWidth="9" defaultRowHeight="14.25" x14ac:dyDescent="0.2"/>
  <cols>
    <col min="1" max="1" width="8.75" customWidth="1"/>
    <col min="2" max="2" width="18.75" customWidth="1"/>
    <col min="3" max="3" width="31.75" customWidth="1"/>
    <col min="4" max="4" width="34.375" customWidth="1"/>
    <col min="5" max="5" width="14.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</row>
    <row r="3" spans="1:5" x14ac:dyDescent="0.2">
      <c r="A3" s="2" t="s">
        <v>9</v>
      </c>
      <c r="B3" s="2" t="s">
        <v>10</v>
      </c>
      <c r="C3" s="2" t="s">
        <v>11</v>
      </c>
      <c r="D3" s="2" t="s">
        <v>11</v>
      </c>
      <c r="E3" s="2" t="s">
        <v>10</v>
      </c>
    </row>
    <row r="4" spans="1:5" x14ac:dyDescent="0.2">
      <c r="A4" s="1" t="s">
        <v>12</v>
      </c>
      <c r="B4" s="1" t="s">
        <v>13</v>
      </c>
      <c r="C4" s="1" t="s">
        <v>14</v>
      </c>
      <c r="D4" s="1" t="s">
        <v>16</v>
      </c>
      <c r="E4" s="1" t="s">
        <v>17</v>
      </c>
    </row>
    <row r="5" spans="1:5" x14ac:dyDescent="0.2">
      <c r="B5" s="3" t="s">
        <v>38</v>
      </c>
      <c r="C5" s="3" t="s">
        <v>39</v>
      </c>
      <c r="D5" s="3" t="s">
        <v>40</v>
      </c>
      <c r="E5" s="4">
        <v>50</v>
      </c>
    </row>
    <row r="6" spans="1:5" x14ac:dyDescent="0.2">
      <c r="B6" t="s">
        <v>41</v>
      </c>
      <c r="C6" t="s">
        <v>42</v>
      </c>
      <c r="D6" t="s">
        <v>43</v>
      </c>
      <c r="E6" s="5">
        <v>70</v>
      </c>
    </row>
    <row r="7" spans="1:5" x14ac:dyDescent="0.2">
      <c r="B7" t="s">
        <v>44</v>
      </c>
      <c r="C7" t="s">
        <v>45</v>
      </c>
      <c r="D7" t="s">
        <v>46</v>
      </c>
      <c r="E7" s="5">
        <v>50</v>
      </c>
    </row>
    <row r="8" spans="1:5" x14ac:dyDescent="0.2">
      <c r="B8" t="s">
        <v>47</v>
      </c>
      <c r="C8" t="s">
        <v>48</v>
      </c>
      <c r="D8" t="s">
        <v>49</v>
      </c>
      <c r="E8" s="5">
        <v>0</v>
      </c>
    </row>
    <row r="9" spans="1:5" x14ac:dyDescent="0.2">
      <c r="B9" t="s">
        <v>82</v>
      </c>
      <c r="C9" t="s">
        <v>83</v>
      </c>
      <c r="D9" t="s">
        <v>49</v>
      </c>
      <c r="E9" s="5">
        <v>800</v>
      </c>
    </row>
    <row r="10" spans="1:5" x14ac:dyDescent="0.2">
      <c r="B10" t="s">
        <v>84</v>
      </c>
      <c r="C10" t="s">
        <v>85</v>
      </c>
      <c r="D10" t="s">
        <v>49</v>
      </c>
      <c r="E10" s="5">
        <v>200</v>
      </c>
    </row>
    <row r="11" spans="1:5" x14ac:dyDescent="0.2">
      <c r="B11" t="s">
        <v>50</v>
      </c>
      <c r="C11" t="s">
        <v>51</v>
      </c>
      <c r="D11" t="s">
        <v>52</v>
      </c>
      <c r="E11" s="5">
        <v>50000</v>
      </c>
    </row>
    <row r="12" spans="1:5" x14ac:dyDescent="0.2">
      <c r="B12" t="s">
        <v>53</v>
      </c>
      <c r="C12" t="s">
        <v>54</v>
      </c>
      <c r="D12" t="s">
        <v>52</v>
      </c>
      <c r="E12" s="5">
        <v>500000</v>
      </c>
    </row>
    <row r="13" spans="1:5" x14ac:dyDescent="0.2">
      <c r="B13" t="s">
        <v>55</v>
      </c>
      <c r="C13" t="s">
        <v>56</v>
      </c>
      <c r="D13" t="s">
        <v>52</v>
      </c>
      <c r="E13" s="5">
        <v>5000000</v>
      </c>
    </row>
    <row r="14" spans="1:5" x14ac:dyDescent="0.2">
      <c r="B14" t="s">
        <v>57</v>
      </c>
      <c r="C14" t="s">
        <v>58</v>
      </c>
      <c r="D14" t="s">
        <v>52</v>
      </c>
      <c r="E14" s="5">
        <v>50000000</v>
      </c>
    </row>
    <row r="15" spans="1:5" x14ac:dyDescent="0.2">
      <c r="B15" t="s">
        <v>59</v>
      </c>
      <c r="C15" t="s">
        <v>60</v>
      </c>
      <c r="D15" t="s">
        <v>52</v>
      </c>
      <c r="E15" s="5">
        <v>500000000</v>
      </c>
    </row>
    <row r="16" spans="1:5" x14ac:dyDescent="0.2">
      <c r="B16" t="s">
        <v>61</v>
      </c>
      <c r="C16" t="s">
        <v>220</v>
      </c>
      <c r="D16" t="s">
        <v>63</v>
      </c>
      <c r="E16" s="5">
        <v>40</v>
      </c>
    </row>
    <row r="17" spans="1:7" x14ac:dyDescent="0.2">
      <c r="B17" t="s">
        <v>64</v>
      </c>
      <c r="C17" t="s">
        <v>221</v>
      </c>
      <c r="D17" t="s">
        <v>65</v>
      </c>
      <c r="E17" s="5">
        <v>10</v>
      </c>
    </row>
    <row r="18" spans="1:7" x14ac:dyDescent="0.2">
      <c r="B18" t="s">
        <v>66</v>
      </c>
      <c r="C18" t="s">
        <v>222</v>
      </c>
      <c r="D18" t="s">
        <v>67</v>
      </c>
      <c r="E18" s="5">
        <v>10</v>
      </c>
      <c r="G18" s="5">
        <f>SUM(E19:E25)</f>
        <v>42591</v>
      </c>
    </row>
    <row r="19" spans="1:7" x14ac:dyDescent="0.2">
      <c r="B19" t="s">
        <v>68</v>
      </c>
      <c r="C19" t="s">
        <v>69</v>
      </c>
      <c r="D19" t="s">
        <v>69</v>
      </c>
      <c r="E19" s="5">
        <v>12288</v>
      </c>
      <c r="F19">
        <f t="shared" ref="F19:F25" si="0">E19/$G$18</f>
        <v>0.28851165739240686</v>
      </c>
      <c r="G19">
        <f>F19*$E$32</f>
        <v>43.276748608861027</v>
      </c>
    </row>
    <row r="20" spans="1:7" x14ac:dyDescent="0.2">
      <c r="B20" t="s">
        <v>70</v>
      </c>
      <c r="C20" t="s">
        <v>71</v>
      </c>
      <c r="D20" t="s">
        <v>71</v>
      </c>
      <c r="E20" s="5">
        <v>9216</v>
      </c>
      <c r="F20">
        <f t="shared" si="0"/>
        <v>0.21638374304430513</v>
      </c>
      <c r="G20">
        <f t="shared" ref="G20:G25" si="1">F20*$E$32</f>
        <v>32.45756145664577</v>
      </c>
    </row>
    <row r="21" spans="1:7" x14ac:dyDescent="0.2">
      <c r="B21" t="s">
        <v>72</v>
      </c>
      <c r="C21" t="s">
        <v>73</v>
      </c>
      <c r="D21" t="s">
        <v>73</v>
      </c>
      <c r="E21" s="5">
        <v>6912</v>
      </c>
      <c r="F21">
        <f t="shared" si="0"/>
        <v>0.16228780728322886</v>
      </c>
      <c r="G21">
        <f t="shared" si="1"/>
        <v>24.343171092484329</v>
      </c>
    </row>
    <row r="22" spans="1:7" x14ac:dyDescent="0.2">
      <c r="B22" t="s">
        <v>74</v>
      </c>
      <c r="C22" t="s">
        <v>75</v>
      </c>
      <c r="D22" t="s">
        <v>75</v>
      </c>
      <c r="E22" s="5">
        <v>5184</v>
      </c>
      <c r="F22">
        <f t="shared" si="0"/>
        <v>0.12171585546242164</v>
      </c>
      <c r="G22">
        <f t="shared" si="1"/>
        <v>18.257378319363244</v>
      </c>
    </row>
    <row r="23" spans="1:7" x14ac:dyDescent="0.2">
      <c r="B23" t="s">
        <v>76</v>
      </c>
      <c r="C23" t="s">
        <v>77</v>
      </c>
      <c r="D23" t="s">
        <v>77</v>
      </c>
      <c r="E23" s="5">
        <v>3888</v>
      </c>
      <c r="F23">
        <f t="shared" si="0"/>
        <v>9.128689159681623E-2</v>
      </c>
      <c r="G23">
        <f t="shared" si="1"/>
        <v>13.693033739522434</v>
      </c>
    </row>
    <row r="24" spans="1:7" x14ac:dyDescent="0.2">
      <c r="B24" t="s">
        <v>78</v>
      </c>
      <c r="C24" t="s">
        <v>79</v>
      </c>
      <c r="D24" t="s">
        <v>79</v>
      </c>
      <c r="E24" s="5">
        <v>2916</v>
      </c>
      <c r="F24">
        <f t="shared" si="0"/>
        <v>6.8465168697612169E-2</v>
      </c>
      <c r="G24">
        <f t="shared" si="1"/>
        <v>10.269775304641826</v>
      </c>
    </row>
    <row r="25" spans="1:7" x14ac:dyDescent="0.2">
      <c r="B25" t="s">
        <v>80</v>
      </c>
      <c r="C25" t="s">
        <v>81</v>
      </c>
      <c r="D25" t="s">
        <v>81</v>
      </c>
      <c r="E25" s="5">
        <v>2187</v>
      </c>
      <c r="F25">
        <f t="shared" si="0"/>
        <v>5.134887652320913E-2</v>
      </c>
      <c r="G25">
        <f t="shared" si="1"/>
        <v>7.7023314784813692</v>
      </c>
    </row>
    <row r="26" spans="1:7" x14ac:dyDescent="0.2">
      <c r="B26" t="s">
        <v>86</v>
      </c>
      <c r="C26" t="s">
        <v>87</v>
      </c>
      <c r="D26" t="s">
        <v>88</v>
      </c>
      <c r="E26" s="5">
        <v>200</v>
      </c>
    </row>
    <row r="27" spans="1:7" x14ac:dyDescent="0.2">
      <c r="B27" t="s">
        <v>89</v>
      </c>
      <c r="C27" t="s">
        <v>90</v>
      </c>
      <c r="D27" t="s">
        <v>91</v>
      </c>
      <c r="E27" s="5">
        <v>10</v>
      </c>
    </row>
    <row r="28" spans="1:7" x14ac:dyDescent="0.2">
      <c r="B28" t="s">
        <v>92</v>
      </c>
      <c r="C28" t="s">
        <v>93</v>
      </c>
      <c r="D28" t="s">
        <v>94</v>
      </c>
      <c r="E28" s="5">
        <v>12</v>
      </c>
    </row>
    <row r="29" spans="1:7" x14ac:dyDescent="0.2">
      <c r="B29" t="s">
        <v>97</v>
      </c>
      <c r="C29" t="s">
        <v>98</v>
      </c>
      <c r="D29" s="10" t="s">
        <v>99</v>
      </c>
      <c r="E29" s="5">
        <v>500000000</v>
      </c>
    </row>
    <row r="30" spans="1:7" x14ac:dyDescent="0.2">
      <c r="A30" t="s">
        <v>95</v>
      </c>
      <c r="B30" s="13" t="s">
        <v>209</v>
      </c>
      <c r="C30" s="10" t="s">
        <v>218</v>
      </c>
      <c r="D30" s="13" t="s">
        <v>210</v>
      </c>
      <c r="E30" s="5">
        <v>200000</v>
      </c>
    </row>
    <row r="31" spans="1:7" x14ac:dyDescent="0.2">
      <c r="B31" t="s">
        <v>96</v>
      </c>
      <c r="C31" s="10" t="s">
        <v>219</v>
      </c>
      <c r="D31" s="13" t="s">
        <v>210</v>
      </c>
      <c r="E31" s="5">
        <v>500000</v>
      </c>
    </row>
    <row r="32" spans="1:7" x14ac:dyDescent="0.2">
      <c r="B32" t="s">
        <v>100</v>
      </c>
      <c r="C32" t="s">
        <v>101</v>
      </c>
      <c r="D32" t="s">
        <v>102</v>
      </c>
      <c r="E32">
        <v>150</v>
      </c>
    </row>
    <row r="33" spans="2:5" x14ac:dyDescent="0.2">
      <c r="B33" s="13" t="s">
        <v>211</v>
      </c>
      <c r="C33" s="13" t="s">
        <v>213</v>
      </c>
      <c r="D33" s="13" t="s">
        <v>210</v>
      </c>
      <c r="E33" s="5">
        <v>40</v>
      </c>
    </row>
    <row r="34" spans="2:5" x14ac:dyDescent="0.2">
      <c r="B34" s="13" t="s">
        <v>212</v>
      </c>
      <c r="C34" s="13" t="s">
        <v>214</v>
      </c>
      <c r="D34" s="13" t="s">
        <v>210</v>
      </c>
      <c r="E34" s="5">
        <v>80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zoomScale="130" zoomScaleNormal="130" workbookViewId="0">
      <selection activeCell="E34" sqref="E34"/>
    </sheetView>
  </sheetViews>
  <sheetFormatPr defaultColWidth="9" defaultRowHeight="14.25" x14ac:dyDescent="0.2"/>
  <cols>
    <col min="1" max="1" width="8.75" customWidth="1"/>
    <col min="2" max="2" width="14.75" customWidth="1"/>
    <col min="3" max="3" width="23.5" customWidth="1"/>
    <col min="4" max="4" width="34.375" customWidth="1"/>
    <col min="5" max="5" width="13.5" bestFit="1" customWidth="1"/>
    <col min="6" max="6" width="9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</row>
    <row r="3" spans="1:5" x14ac:dyDescent="0.2">
      <c r="A3" s="2" t="s">
        <v>9</v>
      </c>
      <c r="B3" s="2" t="s">
        <v>10</v>
      </c>
      <c r="C3" s="2" t="s">
        <v>11</v>
      </c>
      <c r="D3" s="2" t="s">
        <v>11</v>
      </c>
      <c r="E3" s="2" t="s">
        <v>10</v>
      </c>
    </row>
    <row r="4" spans="1:5" x14ac:dyDescent="0.2">
      <c r="A4" s="1" t="s">
        <v>12</v>
      </c>
      <c r="B4" s="1" t="s">
        <v>13</v>
      </c>
      <c r="C4" s="1" t="s">
        <v>14</v>
      </c>
      <c r="D4" s="1" t="s">
        <v>16</v>
      </c>
      <c r="E4" s="1" t="s">
        <v>103</v>
      </c>
    </row>
    <row r="5" spans="1:5" x14ac:dyDescent="0.2">
      <c r="B5" s="3" t="s">
        <v>38</v>
      </c>
      <c r="C5" s="3" t="s">
        <v>39</v>
      </c>
      <c r="D5" s="3" t="s">
        <v>40</v>
      </c>
      <c r="E5" s="4">
        <v>80</v>
      </c>
    </row>
    <row r="6" spans="1:5" x14ac:dyDescent="0.2">
      <c r="B6" t="s">
        <v>47</v>
      </c>
      <c r="C6" t="s">
        <v>48</v>
      </c>
      <c r="D6" t="s">
        <v>49</v>
      </c>
      <c r="E6" s="5">
        <v>0</v>
      </c>
    </row>
    <row r="7" spans="1:5" x14ac:dyDescent="0.2">
      <c r="B7" t="s">
        <v>82</v>
      </c>
      <c r="C7" t="s">
        <v>83</v>
      </c>
      <c r="D7" t="s">
        <v>49</v>
      </c>
      <c r="E7" s="5">
        <v>800</v>
      </c>
    </row>
    <row r="8" spans="1:5" x14ac:dyDescent="0.2">
      <c r="B8" t="s">
        <v>84</v>
      </c>
      <c r="C8" t="s">
        <v>85</v>
      </c>
      <c r="D8" t="s">
        <v>49</v>
      </c>
      <c r="E8" s="5">
        <v>200</v>
      </c>
    </row>
    <row r="9" spans="1:5" x14ac:dyDescent="0.2">
      <c r="B9" t="s">
        <v>50</v>
      </c>
      <c r="C9" t="s">
        <v>51</v>
      </c>
      <c r="D9" t="s">
        <v>104</v>
      </c>
      <c r="E9" s="5">
        <v>50000</v>
      </c>
    </row>
    <row r="10" spans="1:5" x14ac:dyDescent="0.2">
      <c r="B10" t="s">
        <v>53</v>
      </c>
      <c r="C10" t="s">
        <v>54</v>
      </c>
      <c r="D10" t="s">
        <v>104</v>
      </c>
      <c r="E10" s="5">
        <v>500000</v>
      </c>
    </row>
    <row r="11" spans="1:5" x14ac:dyDescent="0.2">
      <c r="B11" t="s">
        <v>55</v>
      </c>
      <c r="C11" t="s">
        <v>56</v>
      </c>
      <c r="D11" t="s">
        <v>104</v>
      </c>
      <c r="E11" s="5">
        <v>5000000</v>
      </c>
    </row>
    <row r="12" spans="1:5" x14ac:dyDescent="0.2">
      <c r="B12" t="s">
        <v>57</v>
      </c>
      <c r="C12" t="s">
        <v>58</v>
      </c>
      <c r="D12" t="s">
        <v>104</v>
      </c>
      <c r="E12" s="5">
        <v>50000000</v>
      </c>
    </row>
    <row r="13" spans="1:5" x14ac:dyDescent="0.2">
      <c r="B13" t="s">
        <v>59</v>
      </c>
      <c r="C13" t="s">
        <v>60</v>
      </c>
      <c r="D13" t="s">
        <v>104</v>
      </c>
      <c r="E13" s="5">
        <v>500000000</v>
      </c>
    </row>
    <row r="14" spans="1:5" x14ac:dyDescent="0.2">
      <c r="B14" t="s">
        <v>61</v>
      </c>
      <c r="C14" t="s">
        <v>220</v>
      </c>
      <c r="D14" t="s">
        <v>63</v>
      </c>
      <c r="E14" s="5">
        <v>20</v>
      </c>
    </row>
    <row r="15" spans="1:5" x14ac:dyDescent="0.2">
      <c r="B15" t="s">
        <v>64</v>
      </c>
      <c r="C15" t="s">
        <v>221</v>
      </c>
      <c r="D15" t="s">
        <v>65</v>
      </c>
      <c r="E15" s="5">
        <v>10</v>
      </c>
    </row>
    <row r="16" spans="1:5" x14ac:dyDescent="0.2">
      <c r="B16" t="s">
        <v>66</v>
      </c>
      <c r="C16" t="s">
        <v>222</v>
      </c>
      <c r="D16" t="s">
        <v>67</v>
      </c>
      <c r="E16" s="5">
        <v>10</v>
      </c>
    </row>
    <row r="17" spans="2:5" x14ac:dyDescent="0.2">
      <c r="B17" t="s">
        <v>105</v>
      </c>
      <c r="C17" t="s">
        <v>106</v>
      </c>
      <c r="D17" t="s">
        <v>106</v>
      </c>
      <c r="E17" s="5">
        <v>2</v>
      </c>
    </row>
    <row r="18" spans="2:5" x14ac:dyDescent="0.2">
      <c r="B18" t="s">
        <v>107</v>
      </c>
      <c r="C18" t="s">
        <v>108</v>
      </c>
      <c r="D18" t="s">
        <v>108</v>
      </c>
      <c r="E18" s="5">
        <v>9</v>
      </c>
    </row>
    <row r="19" spans="2:5" x14ac:dyDescent="0.2">
      <c r="B19" t="s">
        <v>109</v>
      </c>
      <c r="C19" t="s">
        <v>110</v>
      </c>
      <c r="D19" t="s">
        <v>110</v>
      </c>
      <c r="E19" s="5">
        <v>2</v>
      </c>
    </row>
    <row r="20" spans="2:5" x14ac:dyDescent="0.2">
      <c r="B20" t="s">
        <v>111</v>
      </c>
      <c r="C20" t="s">
        <v>112</v>
      </c>
      <c r="D20" t="s">
        <v>113</v>
      </c>
      <c r="E20" s="5">
        <v>1000000000</v>
      </c>
    </row>
    <row r="21" spans="2:5" x14ac:dyDescent="0.2">
      <c r="B21" t="s">
        <v>114</v>
      </c>
      <c r="C21" t="s">
        <v>115</v>
      </c>
      <c r="D21" t="s">
        <v>116</v>
      </c>
      <c r="E21" s="5">
        <v>100000000</v>
      </c>
    </row>
    <row r="22" spans="2:5" x14ac:dyDescent="0.2">
      <c r="B22" t="s">
        <v>117</v>
      </c>
      <c r="C22" t="s">
        <v>118</v>
      </c>
      <c r="D22" t="s">
        <v>119</v>
      </c>
      <c r="E22" s="5">
        <v>1000000000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zoomScale="115" zoomScaleNormal="115" workbookViewId="0">
      <selection activeCell="G7" sqref="G7"/>
    </sheetView>
  </sheetViews>
  <sheetFormatPr defaultColWidth="9" defaultRowHeight="14.25" x14ac:dyDescent="0.2"/>
  <cols>
    <col min="1" max="1" width="8.75" customWidth="1"/>
    <col min="2" max="2" width="14.75" customWidth="1"/>
    <col min="3" max="3" width="9" style="6" customWidth="1"/>
    <col min="4" max="4" width="23.5" customWidth="1"/>
    <col min="5" max="5" width="34.375" customWidth="1"/>
    <col min="6" max="6" width="13.5" bestFit="1" customWidth="1"/>
  </cols>
  <sheetData>
    <row r="1" spans="1:7" x14ac:dyDescent="0.2">
      <c r="A1" s="1" t="s">
        <v>0</v>
      </c>
      <c r="B1" s="1" t="s">
        <v>1</v>
      </c>
      <c r="C1" s="7" t="s">
        <v>120</v>
      </c>
      <c r="D1" s="1" t="s">
        <v>2</v>
      </c>
      <c r="E1" s="1" t="s">
        <v>4</v>
      </c>
      <c r="F1" s="1" t="s">
        <v>5</v>
      </c>
    </row>
    <row r="2" spans="1:7" x14ac:dyDescent="0.2">
      <c r="A2" s="2" t="s">
        <v>6</v>
      </c>
      <c r="B2" s="2" t="s">
        <v>7</v>
      </c>
      <c r="C2" s="8" t="s">
        <v>8</v>
      </c>
      <c r="D2" s="2" t="s">
        <v>7</v>
      </c>
      <c r="E2" s="2" t="s">
        <v>7</v>
      </c>
      <c r="F2" s="2" t="s">
        <v>8</v>
      </c>
    </row>
    <row r="3" spans="1:7" x14ac:dyDescent="0.2">
      <c r="A3" s="2" t="s">
        <v>9</v>
      </c>
      <c r="B3" s="2" t="s">
        <v>10</v>
      </c>
      <c r="C3" s="8" t="s">
        <v>10</v>
      </c>
      <c r="D3" s="2" t="s">
        <v>11</v>
      </c>
      <c r="E3" s="2" t="s">
        <v>11</v>
      </c>
      <c r="F3" s="2" t="s">
        <v>10</v>
      </c>
    </row>
    <row r="4" spans="1:7" x14ac:dyDescent="0.2">
      <c r="A4" s="1" t="s">
        <v>12</v>
      </c>
      <c r="B4" s="1" t="s">
        <v>13</v>
      </c>
      <c r="C4" s="7" t="s">
        <v>121</v>
      </c>
      <c r="D4" s="1" t="s">
        <v>14</v>
      </c>
      <c r="E4" s="1" t="s">
        <v>16</v>
      </c>
      <c r="F4" s="1" t="s">
        <v>103</v>
      </c>
    </row>
    <row r="5" spans="1:7" x14ac:dyDescent="0.2">
      <c r="B5" s="3" t="s">
        <v>38</v>
      </c>
      <c r="C5" s="9"/>
      <c r="D5" s="3" t="s">
        <v>39</v>
      </c>
      <c r="E5" s="3" t="s">
        <v>40</v>
      </c>
      <c r="F5" s="4">
        <v>80</v>
      </c>
    </row>
    <row r="6" spans="1:7" x14ac:dyDescent="0.2">
      <c r="B6" t="s">
        <v>47</v>
      </c>
      <c r="D6" t="s">
        <v>48</v>
      </c>
      <c r="E6" t="s">
        <v>49</v>
      </c>
      <c r="F6" s="5">
        <v>0</v>
      </c>
    </row>
    <row r="7" spans="1:7" x14ac:dyDescent="0.2">
      <c r="B7" t="s">
        <v>82</v>
      </c>
      <c r="D7" t="s">
        <v>83</v>
      </c>
      <c r="E7" t="s">
        <v>49</v>
      </c>
      <c r="F7" s="5">
        <v>800</v>
      </c>
    </row>
    <row r="8" spans="1:7" x14ac:dyDescent="0.2">
      <c r="B8" t="s">
        <v>84</v>
      </c>
      <c r="D8" t="s">
        <v>85</v>
      </c>
      <c r="E8" t="s">
        <v>49</v>
      </c>
      <c r="F8" s="5">
        <v>200</v>
      </c>
    </row>
    <row r="9" spans="1:7" x14ac:dyDescent="0.2">
      <c r="B9" t="s">
        <v>50</v>
      </c>
      <c r="D9" t="s">
        <v>51</v>
      </c>
      <c r="E9" t="s">
        <v>52</v>
      </c>
      <c r="F9" s="5">
        <v>50000</v>
      </c>
      <c r="G9" s="5"/>
    </row>
    <row r="10" spans="1:7" x14ac:dyDescent="0.2">
      <c r="B10" t="s">
        <v>53</v>
      </c>
      <c r="D10" t="s">
        <v>54</v>
      </c>
      <c r="E10" t="s">
        <v>52</v>
      </c>
      <c r="F10" s="5">
        <v>500000</v>
      </c>
      <c r="G10" s="5"/>
    </row>
    <row r="11" spans="1:7" x14ac:dyDescent="0.2">
      <c r="B11" t="s">
        <v>55</v>
      </c>
      <c r="D11" t="s">
        <v>56</v>
      </c>
      <c r="E11" t="s">
        <v>52</v>
      </c>
      <c r="F11" s="5">
        <v>5000000</v>
      </c>
      <c r="G11" s="5"/>
    </row>
    <row r="12" spans="1:7" x14ac:dyDescent="0.2">
      <c r="B12" t="s">
        <v>57</v>
      </c>
      <c r="D12" t="s">
        <v>58</v>
      </c>
      <c r="E12" t="s">
        <v>52</v>
      </c>
      <c r="F12" s="5">
        <v>50000000</v>
      </c>
      <c r="G12" s="5"/>
    </row>
    <row r="13" spans="1:7" x14ac:dyDescent="0.2">
      <c r="B13" t="s">
        <v>59</v>
      </c>
      <c r="D13" t="s">
        <v>60</v>
      </c>
      <c r="E13" t="s">
        <v>52</v>
      </c>
      <c r="F13" s="5">
        <v>500000000</v>
      </c>
      <c r="G13" s="5"/>
    </row>
    <row r="14" spans="1:7" x14ac:dyDescent="0.2">
      <c r="B14" t="s">
        <v>61</v>
      </c>
      <c r="D14" t="s">
        <v>62</v>
      </c>
      <c r="E14" t="s">
        <v>63</v>
      </c>
      <c r="F14" s="5">
        <v>130</v>
      </c>
      <c r="G14" s="5"/>
    </row>
    <row r="15" spans="1:7" x14ac:dyDescent="0.2">
      <c r="B15" t="s">
        <v>64</v>
      </c>
      <c r="D15" t="s">
        <v>65</v>
      </c>
      <c r="E15" t="s">
        <v>65</v>
      </c>
      <c r="F15" s="5">
        <v>40</v>
      </c>
    </row>
    <row r="16" spans="1:7" x14ac:dyDescent="0.2">
      <c r="B16" t="s">
        <v>66</v>
      </c>
      <c r="D16" t="s">
        <v>67</v>
      </c>
      <c r="E16" t="s">
        <v>67</v>
      </c>
      <c r="F16" s="5">
        <v>10</v>
      </c>
    </row>
    <row r="17" spans="2:6" x14ac:dyDescent="0.2">
      <c r="B17" t="s">
        <v>122</v>
      </c>
      <c r="C17" s="6">
        <v>1</v>
      </c>
      <c r="D17" t="s">
        <v>123</v>
      </c>
      <c r="E17" t="s">
        <v>124</v>
      </c>
      <c r="F17" s="5">
        <v>2700</v>
      </c>
    </row>
    <row r="18" spans="2:6" x14ac:dyDescent="0.2">
      <c r="B18" t="s">
        <v>125</v>
      </c>
      <c r="C18" s="6">
        <v>1</v>
      </c>
      <c r="D18" t="s">
        <v>126</v>
      </c>
      <c r="E18" t="s">
        <v>127</v>
      </c>
      <c r="F18" s="5">
        <v>2700</v>
      </c>
    </row>
    <row r="19" spans="2:6" x14ac:dyDescent="0.2">
      <c r="B19" t="s">
        <v>128</v>
      </c>
      <c r="C19" s="6">
        <v>1</v>
      </c>
      <c r="D19" t="s">
        <v>129</v>
      </c>
      <c r="E19" t="s">
        <v>130</v>
      </c>
      <c r="F19" s="5">
        <v>2700</v>
      </c>
    </row>
    <row r="20" spans="2:6" x14ac:dyDescent="0.2">
      <c r="B20" t="s">
        <v>131</v>
      </c>
      <c r="C20" s="6">
        <v>1</v>
      </c>
      <c r="D20" t="s">
        <v>132</v>
      </c>
      <c r="E20" t="s">
        <v>133</v>
      </c>
      <c r="F20" s="5">
        <v>3600</v>
      </c>
    </row>
    <row r="21" spans="2:6" x14ac:dyDescent="0.2">
      <c r="B21" t="s">
        <v>134</v>
      </c>
      <c r="C21" s="6">
        <v>1</v>
      </c>
      <c r="D21" t="s">
        <v>135</v>
      </c>
      <c r="E21" t="s">
        <v>136</v>
      </c>
      <c r="F21" s="5">
        <v>3600</v>
      </c>
    </row>
    <row r="22" spans="2:6" x14ac:dyDescent="0.2">
      <c r="B22" t="s">
        <v>137</v>
      </c>
      <c r="C22" s="6">
        <v>1</v>
      </c>
      <c r="D22" t="s">
        <v>138</v>
      </c>
      <c r="E22" t="s">
        <v>139</v>
      </c>
      <c r="F22" s="5">
        <v>3600</v>
      </c>
    </row>
    <row r="23" spans="2:6" x14ac:dyDescent="0.2">
      <c r="B23" t="s">
        <v>140</v>
      </c>
      <c r="C23" s="6">
        <v>1</v>
      </c>
      <c r="D23" t="s">
        <v>141</v>
      </c>
      <c r="E23" t="s">
        <v>142</v>
      </c>
      <c r="F23" s="5">
        <v>3600</v>
      </c>
    </row>
    <row r="24" spans="2:6" x14ac:dyDescent="0.2">
      <c r="B24" t="s">
        <v>143</v>
      </c>
      <c r="C24" s="6">
        <v>1</v>
      </c>
      <c r="D24" t="s">
        <v>144</v>
      </c>
      <c r="E24" t="s">
        <v>145</v>
      </c>
      <c r="F24" s="5">
        <v>2700</v>
      </c>
    </row>
    <row r="25" spans="2:6" x14ac:dyDescent="0.2">
      <c r="B25" t="s">
        <v>146</v>
      </c>
      <c r="C25" s="6">
        <v>1</v>
      </c>
      <c r="D25" t="s">
        <v>147</v>
      </c>
      <c r="E25" t="s">
        <v>148</v>
      </c>
      <c r="F25" s="5">
        <v>2700</v>
      </c>
    </row>
    <row r="26" spans="2:6" x14ac:dyDescent="0.2">
      <c r="B26" t="s">
        <v>149</v>
      </c>
      <c r="C26" s="6">
        <v>1</v>
      </c>
      <c r="D26" t="s">
        <v>150</v>
      </c>
      <c r="E26" t="s">
        <v>151</v>
      </c>
      <c r="F26" s="5">
        <v>2700</v>
      </c>
    </row>
    <row r="27" spans="2:6" x14ac:dyDescent="0.2">
      <c r="B27" t="s">
        <v>152</v>
      </c>
      <c r="C27" s="6">
        <v>2</v>
      </c>
      <c r="D27" t="s">
        <v>153</v>
      </c>
      <c r="E27" t="s">
        <v>154</v>
      </c>
      <c r="F27" s="5">
        <v>10000</v>
      </c>
    </row>
    <row r="28" spans="2:6" x14ac:dyDescent="0.2">
      <c r="B28" t="s">
        <v>155</v>
      </c>
      <c r="C28" s="6">
        <v>2</v>
      </c>
      <c r="D28" t="s">
        <v>156</v>
      </c>
      <c r="E28" t="s">
        <v>154</v>
      </c>
      <c r="F28" s="5">
        <v>10000</v>
      </c>
    </row>
    <row r="29" spans="2:6" x14ac:dyDescent="0.2">
      <c r="B29" t="s">
        <v>157</v>
      </c>
      <c r="C29" s="6">
        <v>2</v>
      </c>
      <c r="D29" t="s">
        <v>158</v>
      </c>
      <c r="E29" t="s">
        <v>154</v>
      </c>
      <c r="F29" s="5">
        <v>10000</v>
      </c>
    </row>
    <row r="30" spans="2:6" x14ac:dyDescent="0.2">
      <c r="B30" t="s">
        <v>159</v>
      </c>
      <c r="C30" s="6">
        <v>2</v>
      </c>
      <c r="D30" t="s">
        <v>160</v>
      </c>
      <c r="E30" t="s">
        <v>154</v>
      </c>
      <c r="F30" s="5">
        <v>10000</v>
      </c>
    </row>
    <row r="31" spans="2:6" x14ac:dyDescent="0.2">
      <c r="B31" t="s">
        <v>161</v>
      </c>
      <c r="C31" s="6">
        <v>2</v>
      </c>
      <c r="D31" t="s">
        <v>162</v>
      </c>
      <c r="E31" t="s">
        <v>154</v>
      </c>
      <c r="F31" s="5">
        <v>10000</v>
      </c>
    </row>
    <row r="32" spans="2:6" x14ac:dyDescent="0.2">
      <c r="B32" t="s">
        <v>163</v>
      </c>
      <c r="C32" s="6">
        <v>2</v>
      </c>
      <c r="D32" t="s">
        <v>164</v>
      </c>
      <c r="E32" t="s">
        <v>154</v>
      </c>
      <c r="F32" s="5">
        <v>10000</v>
      </c>
    </row>
    <row r="33" spans="2:6" x14ac:dyDescent="0.2">
      <c r="B33" t="s">
        <v>165</v>
      </c>
      <c r="C33" s="6">
        <v>2</v>
      </c>
      <c r="D33" t="s">
        <v>166</v>
      </c>
      <c r="E33" t="s">
        <v>154</v>
      </c>
      <c r="F33" s="5">
        <v>10000</v>
      </c>
    </row>
    <row r="34" spans="2:6" x14ac:dyDescent="0.2">
      <c r="B34" t="s">
        <v>167</v>
      </c>
      <c r="C34" s="6">
        <v>2</v>
      </c>
      <c r="D34" t="s">
        <v>168</v>
      </c>
      <c r="E34" t="s">
        <v>154</v>
      </c>
      <c r="F34" s="5">
        <v>10000</v>
      </c>
    </row>
    <row r="35" spans="2:6" x14ac:dyDescent="0.2">
      <c r="B35" t="s">
        <v>169</v>
      </c>
      <c r="C35" s="6">
        <v>2</v>
      </c>
      <c r="D35" t="s">
        <v>170</v>
      </c>
      <c r="E35" t="s">
        <v>154</v>
      </c>
      <c r="F35" s="5">
        <v>10000</v>
      </c>
    </row>
    <row r="36" spans="2:6" x14ac:dyDescent="0.2">
      <c r="B36" t="s">
        <v>171</v>
      </c>
      <c r="C36" s="6">
        <v>2</v>
      </c>
      <c r="D36" t="s">
        <v>172</v>
      </c>
      <c r="E36" t="s">
        <v>154</v>
      </c>
      <c r="F36" s="5">
        <v>10000</v>
      </c>
    </row>
    <row r="37" spans="2:6" x14ac:dyDescent="0.2">
      <c r="B37" t="s">
        <v>173</v>
      </c>
      <c r="C37" s="6">
        <v>2</v>
      </c>
      <c r="D37" t="s">
        <v>174</v>
      </c>
      <c r="E37" t="s">
        <v>154</v>
      </c>
      <c r="F37" s="5">
        <v>10000</v>
      </c>
    </row>
    <row r="38" spans="2:6" x14ac:dyDescent="0.2">
      <c r="B38" t="s">
        <v>175</v>
      </c>
      <c r="C38" s="6">
        <v>2</v>
      </c>
      <c r="D38" t="s">
        <v>176</v>
      </c>
      <c r="E38" t="s">
        <v>154</v>
      </c>
      <c r="F38" s="5">
        <v>10000</v>
      </c>
    </row>
    <row r="39" spans="2:6" x14ac:dyDescent="0.2">
      <c r="B39" t="s">
        <v>177</v>
      </c>
      <c r="D39" t="s">
        <v>178</v>
      </c>
      <c r="E39" t="s">
        <v>179</v>
      </c>
      <c r="F39" s="5">
        <v>1000000000</v>
      </c>
    </row>
    <row r="40" spans="2:6" x14ac:dyDescent="0.2">
      <c r="B40" t="s">
        <v>180</v>
      </c>
      <c r="D40" t="s">
        <v>181</v>
      </c>
      <c r="E40" t="s">
        <v>179</v>
      </c>
      <c r="F40" s="5">
        <v>1000000000</v>
      </c>
    </row>
    <row r="41" spans="2:6" x14ac:dyDescent="0.2">
      <c r="B41" t="s">
        <v>182</v>
      </c>
      <c r="D41" t="s">
        <v>183</v>
      </c>
      <c r="E41" t="s">
        <v>179</v>
      </c>
      <c r="F41" s="5">
        <v>1000000000</v>
      </c>
    </row>
    <row r="42" spans="2:6" x14ac:dyDescent="0.2">
      <c r="B42" t="s">
        <v>184</v>
      </c>
      <c r="D42" t="s">
        <v>185</v>
      </c>
      <c r="E42" t="s">
        <v>186</v>
      </c>
      <c r="F42" s="5">
        <v>1000000000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zoomScale="175" zoomScaleNormal="175" workbookViewId="0">
      <selection activeCell="H10" sqref="H10"/>
    </sheetView>
  </sheetViews>
  <sheetFormatPr defaultColWidth="9" defaultRowHeight="14.25" x14ac:dyDescent="0.2"/>
  <cols>
    <col min="1" max="1" width="8.75" customWidth="1"/>
    <col min="2" max="2" width="14.75" customWidth="1"/>
    <col min="3" max="3" width="23.5" customWidth="1"/>
    <col min="4" max="4" width="34.375" customWidth="1"/>
    <col min="5" max="5" width="1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</row>
    <row r="3" spans="1:5" x14ac:dyDescent="0.2">
      <c r="A3" s="2" t="s">
        <v>9</v>
      </c>
      <c r="B3" s="2" t="s">
        <v>10</v>
      </c>
      <c r="C3" s="2" t="s">
        <v>11</v>
      </c>
      <c r="D3" s="2" t="s">
        <v>11</v>
      </c>
      <c r="E3" s="2" t="s">
        <v>10</v>
      </c>
    </row>
    <row r="4" spans="1:5" x14ac:dyDescent="0.2">
      <c r="A4" s="1" t="s">
        <v>12</v>
      </c>
      <c r="B4" s="1" t="s">
        <v>13</v>
      </c>
      <c r="C4" s="1" t="s">
        <v>14</v>
      </c>
      <c r="D4" s="1" t="s">
        <v>16</v>
      </c>
      <c r="E4" s="1" t="s">
        <v>103</v>
      </c>
    </row>
    <row r="5" spans="1:5" x14ac:dyDescent="0.2">
      <c r="B5" s="3" t="s">
        <v>38</v>
      </c>
      <c r="C5" s="3" t="s">
        <v>39</v>
      </c>
      <c r="D5" s="3" t="s">
        <v>40</v>
      </c>
      <c r="E5" s="4">
        <v>30</v>
      </c>
    </row>
    <row r="6" spans="1:5" x14ac:dyDescent="0.2">
      <c r="B6" s="3" t="s">
        <v>187</v>
      </c>
      <c r="C6" s="3" t="s">
        <v>188</v>
      </c>
      <c r="D6" s="3" t="s">
        <v>189</v>
      </c>
      <c r="E6" s="4">
        <v>50</v>
      </c>
    </row>
    <row r="7" spans="1:5" x14ac:dyDescent="0.2">
      <c r="B7" s="3" t="s">
        <v>190</v>
      </c>
      <c r="C7" s="3" t="s">
        <v>191</v>
      </c>
      <c r="D7" s="3" t="s">
        <v>192</v>
      </c>
      <c r="E7" s="4">
        <v>500</v>
      </c>
    </row>
    <row r="8" spans="1:5" x14ac:dyDescent="0.2">
      <c r="B8" t="s">
        <v>47</v>
      </c>
      <c r="C8" t="s">
        <v>48</v>
      </c>
      <c r="D8" t="s">
        <v>49</v>
      </c>
      <c r="E8" s="5">
        <v>0</v>
      </c>
    </row>
    <row r="9" spans="1:5" x14ac:dyDescent="0.2">
      <c r="B9" t="s">
        <v>82</v>
      </c>
      <c r="C9" t="s">
        <v>83</v>
      </c>
      <c r="D9" t="s">
        <v>49</v>
      </c>
      <c r="E9" s="5">
        <v>800</v>
      </c>
    </row>
    <row r="10" spans="1:5" x14ac:dyDescent="0.2">
      <c r="B10" t="s">
        <v>84</v>
      </c>
      <c r="C10" t="s">
        <v>85</v>
      </c>
      <c r="D10" t="s">
        <v>49</v>
      </c>
      <c r="E10" s="5">
        <v>200</v>
      </c>
    </row>
    <row r="11" spans="1:5" x14ac:dyDescent="0.2">
      <c r="B11" t="s">
        <v>50</v>
      </c>
      <c r="C11" t="s">
        <v>51</v>
      </c>
      <c r="D11" t="s">
        <v>52</v>
      </c>
      <c r="E11" s="5">
        <v>50000</v>
      </c>
    </row>
    <row r="12" spans="1:5" x14ac:dyDescent="0.2">
      <c r="B12" t="s">
        <v>53</v>
      </c>
      <c r="C12" t="s">
        <v>54</v>
      </c>
      <c r="D12" t="s">
        <v>52</v>
      </c>
      <c r="E12" s="5">
        <v>500000</v>
      </c>
    </row>
    <row r="13" spans="1:5" x14ac:dyDescent="0.2">
      <c r="B13" t="s">
        <v>55</v>
      </c>
      <c r="C13" t="s">
        <v>56</v>
      </c>
      <c r="D13" t="s">
        <v>52</v>
      </c>
      <c r="E13" s="5">
        <v>5000000</v>
      </c>
    </row>
    <row r="14" spans="1:5" x14ac:dyDescent="0.2">
      <c r="B14" t="s">
        <v>57</v>
      </c>
      <c r="C14" t="s">
        <v>58</v>
      </c>
      <c r="D14" t="s">
        <v>52</v>
      </c>
      <c r="E14" s="5">
        <v>50000000</v>
      </c>
    </row>
    <row r="15" spans="1:5" x14ac:dyDescent="0.2">
      <c r="B15" t="s">
        <v>59</v>
      </c>
      <c r="C15" t="s">
        <v>60</v>
      </c>
      <c r="D15" t="s">
        <v>52</v>
      </c>
      <c r="E15" s="5">
        <v>500000000</v>
      </c>
    </row>
    <row r="16" spans="1:5" x14ac:dyDescent="0.2">
      <c r="B16" t="s">
        <v>61</v>
      </c>
      <c r="C16" t="s">
        <v>62</v>
      </c>
      <c r="D16" t="s">
        <v>63</v>
      </c>
      <c r="E16" s="5">
        <v>580</v>
      </c>
    </row>
    <row r="17" spans="2:7" x14ac:dyDescent="0.2">
      <c r="B17" t="s">
        <v>64</v>
      </c>
      <c r="C17" t="s">
        <v>65</v>
      </c>
      <c r="D17" t="s">
        <v>65</v>
      </c>
      <c r="E17" s="5">
        <v>10</v>
      </c>
    </row>
    <row r="18" spans="2:7" x14ac:dyDescent="0.2">
      <c r="B18" t="s">
        <v>66</v>
      </c>
      <c r="C18" t="s">
        <v>67</v>
      </c>
      <c r="D18" t="s">
        <v>67</v>
      </c>
      <c r="E18" s="5">
        <v>10</v>
      </c>
    </row>
    <row r="19" spans="2:7" x14ac:dyDescent="0.2">
      <c r="B19" t="s">
        <v>122</v>
      </c>
      <c r="C19" t="s">
        <v>123</v>
      </c>
      <c r="D19" t="s">
        <v>124</v>
      </c>
      <c r="E19" s="5">
        <v>2500</v>
      </c>
    </row>
    <row r="20" spans="2:7" x14ac:dyDescent="0.2">
      <c r="B20" t="s">
        <v>125</v>
      </c>
      <c r="C20" t="s">
        <v>126</v>
      </c>
      <c r="D20" t="s">
        <v>127</v>
      </c>
      <c r="E20" s="5">
        <v>2500</v>
      </c>
    </row>
    <row r="21" spans="2:7" x14ac:dyDescent="0.2">
      <c r="B21" t="s">
        <v>128</v>
      </c>
      <c r="C21" t="s">
        <v>129</v>
      </c>
      <c r="D21" t="s">
        <v>130</v>
      </c>
      <c r="E21" s="5">
        <v>2500</v>
      </c>
    </row>
    <row r="22" spans="2:7" x14ac:dyDescent="0.2">
      <c r="B22" t="s">
        <v>131</v>
      </c>
      <c r="C22" t="s">
        <v>132</v>
      </c>
      <c r="D22" t="s">
        <v>133</v>
      </c>
      <c r="E22" s="5">
        <v>3400</v>
      </c>
    </row>
    <row r="23" spans="2:7" x14ac:dyDescent="0.2">
      <c r="B23" t="s">
        <v>134</v>
      </c>
      <c r="C23" t="s">
        <v>135</v>
      </c>
      <c r="D23" t="s">
        <v>136</v>
      </c>
      <c r="E23" s="5">
        <v>3400</v>
      </c>
    </row>
    <row r="24" spans="2:7" x14ac:dyDescent="0.2">
      <c r="B24" t="s">
        <v>137</v>
      </c>
      <c r="C24" t="s">
        <v>138</v>
      </c>
      <c r="D24" t="s">
        <v>139</v>
      </c>
      <c r="E24" s="5">
        <v>3400</v>
      </c>
    </row>
    <row r="25" spans="2:7" x14ac:dyDescent="0.2">
      <c r="B25" t="s">
        <v>140</v>
      </c>
      <c r="C25" t="s">
        <v>141</v>
      </c>
      <c r="D25" t="s">
        <v>142</v>
      </c>
      <c r="E25" s="5">
        <v>3400</v>
      </c>
    </row>
    <row r="26" spans="2:7" x14ac:dyDescent="0.2">
      <c r="B26" t="s">
        <v>143</v>
      </c>
      <c r="C26" t="s">
        <v>144</v>
      </c>
      <c r="D26" t="s">
        <v>145</v>
      </c>
      <c r="E26" s="5">
        <v>2500</v>
      </c>
    </row>
    <row r="27" spans="2:7" x14ac:dyDescent="0.2">
      <c r="B27" t="s">
        <v>146</v>
      </c>
      <c r="C27" t="s">
        <v>147</v>
      </c>
      <c r="D27" t="s">
        <v>148</v>
      </c>
      <c r="E27" s="5">
        <v>2500</v>
      </c>
      <c r="G27" t="s">
        <v>95</v>
      </c>
    </row>
    <row r="28" spans="2:7" x14ac:dyDescent="0.2">
      <c r="B28" t="s">
        <v>149</v>
      </c>
      <c r="C28" t="s">
        <v>150</v>
      </c>
      <c r="D28" t="s">
        <v>151</v>
      </c>
      <c r="E28" s="5">
        <v>2500</v>
      </c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App</vt:lpstr>
      <vt:lpstr>Wood</vt:lpstr>
      <vt:lpstr>Compete</vt:lpstr>
      <vt:lpstr>Ladder</vt:lpstr>
      <vt:lpstr>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bcxbmj@gmail.com</cp:lastModifiedBy>
  <dcterms:created xsi:type="dcterms:W3CDTF">2023-08-31T02:14:00Z</dcterms:created>
  <dcterms:modified xsi:type="dcterms:W3CDTF">2024-12-25T11:31:36Z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0230C98B09A34B4B94E5A155C7CEEE1E_12</vt:lpwstr>
  </property>
  <property fmtid="{D5CDD505-2E9C-101B-9397-08002B2CF9AE}" pid="3" name="KSOProductBuildVer">
    <vt:lpwstr>2052-12.1.0.19302</vt:lpwstr>
  </property>
</Properties>
</file>